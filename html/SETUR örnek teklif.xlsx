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Magicbox/Desktop/CEM GORA/"/>
    </mc:Choice>
  </mc:AlternateContent>
  <xr:revisionPtr revIDLastSave="0" documentId="13_ncr:1_{1ECA2217-FDE8-4A43-8625-36D514879B2B}" xr6:coauthVersionLast="47" xr6:coauthVersionMax="47" xr10:uidLastSave="{00000000-0000-0000-0000-000000000000}"/>
  <bookViews>
    <workbookView xWindow="940" yWindow="660" windowWidth="16800" windowHeight="14820" xr2:uid="{00000000-000D-0000-FFFF-FFFF00000000}"/>
  </bookViews>
  <sheets>
    <sheet name="NEOTECH 3.5X5M" sheetId="13" r:id="rId1"/>
  </sheets>
  <definedNames>
    <definedName name="_xlnm.Print_Area" localSheetId="0">'NEOTECH 3.5X5M'!$A$1:$I$56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" i="13" l="1"/>
  <c r="H12" i="13"/>
  <c r="H13" i="13"/>
  <c r="H14" i="13"/>
  <c r="H15" i="13"/>
  <c r="H16" i="13"/>
  <c r="H18" i="13"/>
  <c r="H19" i="13"/>
  <c r="H20" i="13"/>
  <c r="H21" i="13"/>
  <c r="H22" i="13"/>
  <c r="H23" i="13"/>
  <c r="H24" i="13"/>
  <c r="H26" i="13"/>
  <c r="H27" i="13"/>
  <c r="H28" i="13"/>
  <c r="H29" i="13"/>
  <c r="H30" i="13"/>
  <c r="H31" i="13"/>
  <c r="H33" i="13"/>
  <c r="H34" i="13"/>
  <c r="H35" i="13"/>
  <c r="H36" i="13"/>
  <c r="H41" i="13"/>
  <c r="H42" i="13" s="1"/>
  <c r="H37" i="13" l="1"/>
  <c r="H4" i="13" s="1"/>
  <c r="H5" i="13"/>
  <c r="H6" i="13" s="1"/>
</calcChain>
</file>

<file path=xl/sharedStrings.xml><?xml version="1.0" encoding="utf-8"?>
<sst xmlns="http://schemas.openxmlformats.org/spreadsheetml/2006/main" count="60" uniqueCount="53">
  <si>
    <t>GENEL TOPLAM:</t>
  </si>
  <si>
    <t>No</t>
  </si>
  <si>
    <t>Açıklama</t>
  </si>
  <si>
    <t>TOPLAM</t>
  </si>
  <si>
    <r>
      <t>İş onayında  %50 ön ödeme İş bitiminden sonraki haftada tamamı</t>
    </r>
    <r>
      <rPr>
        <b/>
        <i/>
        <u/>
        <sz val="10"/>
        <rFont val="Tahoma"/>
        <family val="2"/>
        <charset val="162"/>
      </rPr>
      <t xml:space="preserve"> NAKİT </t>
    </r>
    <r>
      <rPr>
        <i/>
        <sz val="10"/>
        <rFont val="Tahoma"/>
        <family val="2"/>
        <charset val="162"/>
      </rPr>
      <t xml:space="preserve">olarak tahsil edilecektir. </t>
    </r>
  </si>
  <si>
    <t>Tüm resmi daire izinleri harç vergi v.s ödemeler tarafınızdan yapılacaktır.</t>
  </si>
  <si>
    <r>
      <t xml:space="preserve">İş tarihinden 3 gün önce iptal edilen sözleşmelerde </t>
    </r>
    <r>
      <rPr>
        <b/>
        <i/>
        <u/>
        <sz val="10"/>
        <rFont val="Tahoma"/>
        <family val="2"/>
        <charset val="162"/>
      </rPr>
      <t>MAGICBOX</t>
    </r>
    <r>
      <rPr>
        <i/>
        <sz val="10"/>
        <rFont val="Tahoma"/>
        <family val="2"/>
        <charset val="162"/>
      </rPr>
      <t xml:space="preserve"> sözleşme tutarının %50 sini Fatura Eder. </t>
    </r>
  </si>
  <si>
    <r>
      <t xml:space="preserve">İş tarihinde veya 3 güne kadar olan sözleşme iptallerinde </t>
    </r>
    <r>
      <rPr>
        <b/>
        <i/>
        <u/>
        <sz val="10"/>
        <rFont val="Tahoma"/>
        <family val="2"/>
        <charset val="162"/>
      </rPr>
      <t>MAGICBOX</t>
    </r>
    <r>
      <rPr>
        <i/>
        <sz val="10"/>
        <rFont val="Tahoma"/>
        <family val="2"/>
        <charset val="162"/>
      </rPr>
      <t xml:space="preserve"> sözleşme tutarının tamamını Fatura Eder.</t>
    </r>
  </si>
  <si>
    <r>
      <t xml:space="preserve">İş süresince Kiralanan cihazların tahrip edilmesi, düşürülmesi, kırılması veya çalınması halinde </t>
    </r>
    <r>
      <rPr>
        <b/>
        <i/>
        <u/>
        <sz val="10"/>
        <rFont val="Tahoma"/>
        <family val="2"/>
        <charset val="162"/>
      </rPr>
      <t>MÜŞTERİ</t>
    </r>
    <r>
      <rPr>
        <i/>
        <sz val="10"/>
        <rFont val="Tahoma"/>
        <family val="2"/>
        <charset val="162"/>
      </rPr>
      <t xml:space="preserve">  cihazların  bedelini ödeyecektir. </t>
    </r>
  </si>
  <si>
    <r>
      <t xml:space="preserve">Gerektiğinde cihazların gece emniyetini  </t>
    </r>
    <r>
      <rPr>
        <b/>
        <i/>
        <u/>
        <sz val="10"/>
        <rFont val="Tahoma"/>
        <family val="2"/>
        <charset val="162"/>
      </rPr>
      <t>MÜŞTERİ</t>
    </r>
    <r>
      <rPr>
        <i/>
        <sz val="10"/>
        <rFont val="Tahoma"/>
        <family val="2"/>
        <charset val="162"/>
      </rPr>
      <t xml:space="preserve"> sağlayacaktır. </t>
    </r>
  </si>
  <si>
    <r>
      <t xml:space="preserve">İstanbul içi veya dışı olan organizasyonlarda Teknisyenlerin Yol, Konaklama ve İaşeleri  </t>
    </r>
    <r>
      <rPr>
        <b/>
        <i/>
        <u/>
        <sz val="10"/>
        <rFont val="Tahoma"/>
        <family val="2"/>
        <charset val="162"/>
      </rPr>
      <t>MÜŞTERİ</t>
    </r>
    <r>
      <rPr>
        <i/>
        <sz val="10"/>
        <rFont val="Tahoma"/>
        <family val="2"/>
        <charset val="162"/>
      </rPr>
      <t xml:space="preserve"> tarafından karşılanır. </t>
    </r>
  </si>
  <si>
    <t>Teklifimiz, verildiği tarihten itibaren 3 (üç) hafta için geçerlidir.Bu zaman sonunda revize edilebilir.</t>
  </si>
  <si>
    <t>Tutar</t>
  </si>
  <si>
    <t>FR 33-01</t>
  </si>
  <si>
    <t>MAGICBOX Prodüksiyon &amp; İletişim Sistemleri Teklif Formu</t>
  </si>
  <si>
    <t>Adet/m2</t>
  </si>
  <si>
    <t>Gün</t>
  </si>
  <si>
    <t>Birim Fiyat</t>
  </si>
  <si>
    <t>Shure QLX4D Telsiz Mikrofon</t>
  </si>
  <si>
    <t>SES SİSTEMİ</t>
  </si>
  <si>
    <t>Yamaha TF5 Dijital Mikser</t>
  </si>
  <si>
    <t>Fiber optik Kablolama</t>
  </si>
  <si>
    <r>
      <t>TRUSS S</t>
    </r>
    <r>
      <rPr>
        <b/>
        <sz val="10"/>
        <rFont val="Minion Pro SmBd Ital"/>
        <family val="2"/>
        <charset val="162"/>
      </rPr>
      <t>İ</t>
    </r>
    <r>
      <rPr>
        <b/>
        <sz val="10"/>
        <rFont val="Tahoma"/>
        <family val="2"/>
        <charset val="162"/>
      </rPr>
      <t>STEMLER</t>
    </r>
    <r>
      <rPr>
        <b/>
        <sz val="10"/>
        <rFont val="Minion Pro SmBd Ital"/>
        <family val="2"/>
        <charset val="162"/>
      </rPr>
      <t>İ</t>
    </r>
  </si>
  <si>
    <t>Truss motor kumanda</t>
  </si>
  <si>
    <r>
      <t>IŞIK S</t>
    </r>
    <r>
      <rPr>
        <b/>
        <sz val="10"/>
        <rFont val="Minion Pro SmBd Ital"/>
        <family val="2"/>
        <charset val="162"/>
      </rPr>
      <t>İ</t>
    </r>
    <r>
      <rPr>
        <b/>
        <sz val="10"/>
        <rFont val="Tahoma"/>
        <family val="2"/>
        <charset val="162"/>
      </rPr>
      <t>STEMİ</t>
    </r>
  </si>
  <si>
    <r>
      <t>GÖRÜNTÜ S</t>
    </r>
    <r>
      <rPr>
        <b/>
        <sz val="10"/>
        <rFont val="Minion Pro SmBd Ital"/>
        <family val="2"/>
        <charset val="162"/>
      </rPr>
      <t>İ</t>
    </r>
    <r>
      <rPr>
        <b/>
        <sz val="10"/>
        <rFont val="Tahoma"/>
        <family val="2"/>
        <charset val="162"/>
      </rPr>
      <t>STEMİ</t>
    </r>
  </si>
  <si>
    <t>Clay Paky Sharpy</t>
  </si>
  <si>
    <t>Desisti 2Kw. Sahne Sıcak Işık</t>
  </si>
  <si>
    <t xml:space="preserve">Laptop </t>
  </si>
  <si>
    <t xml:space="preserve">Plazma </t>
  </si>
  <si>
    <t>Grand Ma3 Compact Mikser</t>
  </si>
  <si>
    <t>Dimmer 24ch.</t>
  </si>
  <si>
    <t>KDV %20:</t>
  </si>
  <si>
    <t>TOPLAM:</t>
  </si>
  <si>
    <t>Led Processor 4k</t>
  </si>
  <si>
    <t>Navigator Que Light</t>
  </si>
  <si>
    <t>Teknisyen</t>
  </si>
  <si>
    <t>1T CM Lodestar Truss motor</t>
  </si>
  <si>
    <t>Led Ekran 2mm ABSEN</t>
  </si>
  <si>
    <t>Molefay</t>
  </si>
  <si>
    <t xml:space="preserve">Milos Truss 40x40cm  Line 10m </t>
  </si>
  <si>
    <t>NEOTECH</t>
  </si>
  <si>
    <t>29 OCAK 2024</t>
  </si>
  <si>
    <t>4 - 7 MART 2024</t>
  </si>
  <si>
    <t>Bosch DCN Delege Mikrofonu</t>
  </si>
  <si>
    <t>Kürsü Mikrofonu</t>
  </si>
  <si>
    <t>Analog way Switcher Zenith 200</t>
  </si>
  <si>
    <t>GY Hitech Wash</t>
  </si>
  <si>
    <t>Shure QLX4D Headset Mikrofon</t>
  </si>
  <si>
    <t>Bosch DCN Delege Mikrofon CCU</t>
  </si>
  <si>
    <t>GAZİANTEP</t>
  </si>
  <si>
    <t>NAKLİYE</t>
  </si>
  <si>
    <t>NAKLİYE 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</si>
</sst>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"/>
  </numFmts>
  <fonts count="20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Tahoma"/>
      <family val="2"/>
      <charset val="162"/>
    </font>
    <font>
      <b/>
      <sz val="10"/>
      <name val="Tahoma"/>
      <family val="2"/>
      <charset val="162"/>
    </font>
    <font>
      <b/>
      <sz val="10"/>
      <color indexed="10"/>
      <name val="Tahoma"/>
      <family val="2"/>
      <charset val="162"/>
    </font>
    <font>
      <sz val="10"/>
      <color indexed="10"/>
      <name val="Tahoma"/>
      <family val="2"/>
      <charset val="162"/>
    </font>
    <font>
      <sz val="11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b/>
      <sz val="11"/>
      <color theme="0"/>
      <name val="Tahoma"/>
      <family val="2"/>
      <charset val="162"/>
    </font>
    <font>
      <b/>
      <sz val="10"/>
      <color theme="0"/>
      <name val="Tahoma"/>
      <family val="2"/>
      <charset val="162"/>
    </font>
    <font>
      <u/>
      <sz val="11"/>
      <color theme="10"/>
      <name val="Calibri"/>
      <family val="2"/>
      <charset val="162"/>
      <scheme val="minor"/>
    </font>
    <font>
      <u/>
      <sz val="11"/>
      <color theme="11"/>
      <name val="Calibri"/>
      <family val="2"/>
      <charset val="162"/>
      <scheme val="minor"/>
    </font>
    <font>
      <i/>
      <sz val="10"/>
      <name val="Tahoma"/>
      <family val="2"/>
      <charset val="162"/>
    </font>
    <font>
      <b/>
      <i/>
      <u/>
      <sz val="10"/>
      <name val="Tahoma"/>
      <family val="2"/>
      <charset val="162"/>
    </font>
    <font>
      <i/>
      <sz val="10"/>
      <color theme="1"/>
      <name val="Tahoma"/>
      <family val="2"/>
      <charset val="162"/>
    </font>
    <font>
      <b/>
      <sz val="10"/>
      <color theme="1"/>
      <name val="Tahoma"/>
      <family val="2"/>
      <charset val="162"/>
    </font>
    <font>
      <sz val="11"/>
      <color indexed="8"/>
      <name val="Calibri"/>
      <family val="2"/>
    </font>
    <font>
      <b/>
      <sz val="9"/>
      <color theme="0"/>
      <name val="Tahoma"/>
      <family val="2"/>
      <charset val="162"/>
    </font>
    <font>
      <b/>
      <sz val="10"/>
      <name val="Minion Pro SmBd Ital"/>
      <family val="2"/>
      <charset val="162"/>
    </font>
    <font>
      <sz val="10"/>
      <color indexed="8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091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53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0" borderId="0"/>
  </cellStyleXfs>
  <cellXfs count="86">
    <xf numFmtId="0" fontId="0" fillId="0" borderId="0" xfId="0"/>
    <xf numFmtId="0" fontId="4" fillId="2" borderId="2" xfId="1" applyFont="1" applyFill="1" applyBorder="1"/>
    <xf numFmtId="0" fontId="4" fillId="2" borderId="3" xfId="1" applyFont="1" applyFill="1" applyBorder="1"/>
    <xf numFmtId="0" fontId="5" fillId="2" borderId="4" xfId="1" applyFont="1" applyFill="1" applyBorder="1"/>
    <xf numFmtId="0" fontId="5" fillId="2" borderId="0" xfId="1" applyFont="1" applyFill="1"/>
    <xf numFmtId="0" fontId="5" fillId="2" borderId="5" xfId="1" applyFont="1" applyFill="1" applyBorder="1"/>
    <xf numFmtId="0" fontId="5" fillId="2" borderId="6" xfId="1" applyFont="1" applyFill="1" applyBorder="1"/>
    <xf numFmtId="0" fontId="9" fillId="3" borderId="7" xfId="1" applyFont="1" applyFill="1" applyBorder="1" applyAlignment="1">
      <alignment vertical="center"/>
    </xf>
    <xf numFmtId="164" fontId="9" fillId="3" borderId="7" xfId="1" applyNumberFormat="1" applyFont="1" applyFill="1" applyBorder="1" applyAlignment="1">
      <alignment horizontal="center" vertical="center"/>
    </xf>
    <xf numFmtId="0" fontId="7" fillId="4" borderId="0" xfId="0" applyFont="1" applyFill="1"/>
    <xf numFmtId="0" fontId="2" fillId="4" borderId="14" xfId="1" applyFont="1" applyFill="1" applyBorder="1" applyAlignment="1">
      <alignment horizontal="center"/>
    </xf>
    <xf numFmtId="0" fontId="2" fillId="4" borderId="17" xfId="1" applyFont="1" applyFill="1" applyBorder="1" applyAlignment="1">
      <alignment horizontal="center"/>
    </xf>
    <xf numFmtId="0" fontId="3" fillId="4" borderId="0" xfId="1" applyFont="1" applyFill="1" applyAlignment="1">
      <alignment horizontal="center"/>
    </xf>
    <xf numFmtId="0" fontId="2" fillId="4" borderId="0" xfId="1" applyFont="1" applyFill="1"/>
    <xf numFmtId="0" fontId="9" fillId="3" borderId="1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164" fontId="2" fillId="4" borderId="0" xfId="1" applyNumberFormat="1" applyFont="1" applyFill="1"/>
    <xf numFmtId="0" fontId="6" fillId="4" borderId="0" xfId="0" applyFont="1" applyFill="1"/>
    <xf numFmtId="0" fontId="4" fillId="4" borderId="0" xfId="1" applyFont="1" applyFill="1"/>
    <xf numFmtId="0" fontId="5" fillId="4" borderId="0" xfId="1" applyFont="1" applyFill="1"/>
    <xf numFmtId="0" fontId="5" fillId="4" borderId="6" xfId="1" applyFont="1" applyFill="1" applyBorder="1"/>
    <xf numFmtId="49" fontId="8" fillId="4" borderId="6" xfId="1" applyNumberFormat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9" fillId="4" borderId="0" xfId="1" applyFont="1" applyFill="1" applyAlignment="1">
      <alignment horizontal="center" vertical="center"/>
    </xf>
    <xf numFmtId="164" fontId="4" fillId="4" borderId="0" xfId="1" applyNumberFormat="1" applyFont="1" applyFill="1" applyAlignment="1">
      <alignment horizontal="right"/>
    </xf>
    <xf numFmtId="164" fontId="7" fillId="4" borderId="0" xfId="0" applyNumberFormat="1" applyFont="1" applyFill="1"/>
    <xf numFmtId="0" fontId="15" fillId="4" borderId="0" xfId="0" applyFont="1" applyFill="1" applyAlignment="1">
      <alignment horizontal="right"/>
    </xf>
    <xf numFmtId="164" fontId="6" fillId="4" borderId="0" xfId="0" applyNumberFormat="1" applyFont="1" applyFill="1"/>
    <xf numFmtId="0" fontId="9" fillId="4" borderId="6" xfId="1" applyFont="1" applyFill="1" applyBorder="1" applyAlignment="1">
      <alignment horizontal="right" vertical="center"/>
    </xf>
    <xf numFmtId="164" fontId="9" fillId="4" borderId="6" xfId="1" applyNumberFormat="1" applyFont="1" applyFill="1" applyBorder="1" applyAlignment="1">
      <alignment horizontal="right" vertical="center"/>
    </xf>
    <xf numFmtId="164" fontId="4" fillId="4" borderId="3" xfId="1" applyNumberFormat="1" applyFont="1" applyFill="1" applyBorder="1" applyAlignment="1">
      <alignment horizontal="center"/>
    </xf>
    <xf numFmtId="0" fontId="17" fillId="2" borderId="24" xfId="1" applyFont="1" applyFill="1" applyBorder="1" applyAlignment="1">
      <alignment horizontal="right" vertical="center"/>
    </xf>
    <xf numFmtId="0" fontId="17" fillId="2" borderId="12" xfId="1" applyFont="1" applyFill="1" applyBorder="1" applyAlignment="1">
      <alignment horizontal="right" vertical="center"/>
    </xf>
    <xf numFmtId="164" fontId="9" fillId="2" borderId="16" xfId="1" applyNumberFormat="1" applyFont="1" applyFill="1" applyBorder="1" applyAlignment="1">
      <alignment horizontal="right" vertical="center"/>
    </xf>
    <xf numFmtId="164" fontId="9" fillId="2" borderId="19" xfId="1" applyNumberFormat="1" applyFont="1" applyFill="1" applyBorder="1" applyAlignment="1">
      <alignment horizontal="right" vertical="center"/>
    </xf>
    <xf numFmtId="164" fontId="9" fillId="2" borderId="21" xfId="1" applyNumberFormat="1" applyFont="1" applyFill="1" applyBorder="1" applyAlignment="1">
      <alignment horizontal="right" vertical="center"/>
    </xf>
    <xf numFmtId="164" fontId="15" fillId="4" borderId="1" xfId="0" applyNumberFormat="1" applyFont="1" applyFill="1" applyBorder="1" applyAlignment="1">
      <alignment horizontal="right"/>
    </xf>
    <xf numFmtId="164" fontId="9" fillId="3" borderId="1" xfId="1" applyNumberFormat="1" applyFont="1" applyFill="1" applyBorder="1" applyAlignment="1">
      <alignment horizontal="right" vertical="center"/>
    </xf>
    <xf numFmtId="164" fontId="3" fillId="4" borderId="11" xfId="1" applyNumberFormat="1" applyFont="1" applyFill="1" applyBorder="1" applyAlignment="1">
      <alignment vertical="center"/>
    </xf>
    <xf numFmtId="0" fontId="2" fillId="4" borderId="17" xfId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vertical="center"/>
    </xf>
    <xf numFmtId="164" fontId="3" fillId="4" borderId="20" xfId="1" applyNumberFormat="1" applyFont="1" applyFill="1" applyBorder="1" applyAlignment="1">
      <alignment vertical="center"/>
    </xf>
    <xf numFmtId="164" fontId="3" fillId="4" borderId="14" xfId="1" applyNumberFormat="1" applyFont="1" applyFill="1" applyBorder="1" applyAlignment="1">
      <alignment vertical="center"/>
    </xf>
    <xf numFmtId="0" fontId="9" fillId="3" borderId="9" xfId="1" applyFont="1" applyFill="1" applyBorder="1" applyAlignment="1">
      <alignment horizontal="center" vertical="center"/>
    </xf>
    <xf numFmtId="0" fontId="7" fillId="4" borderId="14" xfId="0" applyFont="1" applyFill="1" applyBorder="1"/>
    <xf numFmtId="0" fontId="9" fillId="3" borderId="1" xfId="0" applyFont="1" applyFill="1" applyBorder="1" applyAlignment="1">
      <alignment horizontal="center"/>
    </xf>
    <xf numFmtId="164" fontId="3" fillId="4" borderId="29" xfId="1" applyNumberFormat="1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0" fontId="3" fillId="4" borderId="23" xfId="1" applyFont="1" applyFill="1" applyBorder="1" applyAlignment="1">
      <alignment horizontal="left"/>
    </xf>
    <xf numFmtId="0" fontId="3" fillId="4" borderId="14" xfId="1" applyFont="1" applyFill="1" applyBorder="1" applyAlignment="1">
      <alignment horizontal="left"/>
    </xf>
    <xf numFmtId="0" fontId="19" fillId="4" borderId="33" xfId="52" applyFont="1" applyFill="1" applyBorder="1" applyAlignment="1">
      <alignment horizontal="center" wrapText="1"/>
    </xf>
    <xf numFmtId="0" fontId="2" fillId="4" borderId="31" xfId="1" applyFont="1" applyFill="1" applyBorder="1" applyAlignment="1">
      <alignment horizontal="center"/>
    </xf>
    <xf numFmtId="0" fontId="2" fillId="4" borderId="19" xfId="1" applyFont="1" applyFill="1" applyBorder="1" applyAlignment="1">
      <alignment horizontal="center"/>
    </xf>
    <xf numFmtId="164" fontId="9" fillId="4" borderId="0" xfId="1" applyNumberFormat="1" applyFont="1" applyFill="1" applyAlignment="1">
      <alignment horizontal="right" vertical="center"/>
    </xf>
    <xf numFmtId="0" fontId="9" fillId="3" borderId="7" xfId="1" applyFont="1" applyFill="1" applyBorder="1" applyAlignment="1">
      <alignment horizontal="left" vertical="center"/>
    </xf>
    <xf numFmtId="0" fontId="9" fillId="3" borderId="9" xfId="1" applyFont="1" applyFill="1" applyBorder="1" applyAlignment="1">
      <alignment horizontal="left" vertical="center"/>
    </xf>
    <xf numFmtId="0" fontId="9" fillId="3" borderId="8" xfId="1" applyFont="1" applyFill="1" applyBorder="1" applyAlignment="1">
      <alignment horizontal="left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49" fontId="9" fillId="2" borderId="25" xfId="1" applyNumberFormat="1" applyFont="1" applyFill="1" applyBorder="1" applyAlignment="1">
      <alignment horizontal="center" vertical="center"/>
    </xf>
    <xf numFmtId="49" fontId="9" fillId="2" borderId="22" xfId="1" applyNumberFormat="1" applyFont="1" applyFill="1" applyBorder="1" applyAlignment="1">
      <alignment horizontal="center" vertical="center"/>
    </xf>
    <xf numFmtId="49" fontId="9" fillId="2" borderId="3" xfId="1" applyNumberFormat="1" applyFont="1" applyFill="1" applyBorder="1" applyAlignment="1">
      <alignment horizontal="center" vertical="center"/>
    </xf>
    <xf numFmtId="49" fontId="9" fillId="2" borderId="26" xfId="1" applyNumberFormat="1" applyFont="1" applyFill="1" applyBorder="1" applyAlignment="1">
      <alignment horizontal="center" vertical="center"/>
    </xf>
    <xf numFmtId="49" fontId="9" fillId="2" borderId="0" xfId="1" applyNumberFormat="1" applyFont="1" applyFill="1" applyAlignment="1">
      <alignment horizontal="center" vertical="center"/>
    </xf>
    <xf numFmtId="49" fontId="9" fillId="2" borderId="27" xfId="1" applyNumberFormat="1" applyFont="1" applyFill="1" applyBorder="1" applyAlignment="1">
      <alignment horizontal="center" vertical="center"/>
    </xf>
    <xf numFmtId="49" fontId="9" fillId="2" borderId="6" xfId="1" applyNumberFormat="1" applyFont="1" applyFill="1" applyBorder="1" applyAlignment="1">
      <alignment horizontal="center" vertical="center"/>
    </xf>
    <xf numFmtId="49" fontId="9" fillId="2" borderId="28" xfId="1" applyNumberFormat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left"/>
    </xf>
    <xf numFmtId="0" fontId="3" fillId="4" borderId="23" xfId="1" applyFont="1" applyFill="1" applyBorder="1" applyAlignment="1">
      <alignment horizontal="left"/>
    </xf>
    <xf numFmtId="0" fontId="12" fillId="4" borderId="18" xfId="1" applyFont="1" applyFill="1" applyBorder="1" applyAlignment="1">
      <alignment horizontal="left" indent="2"/>
    </xf>
    <xf numFmtId="0" fontId="12" fillId="4" borderId="10" xfId="1" applyFont="1" applyFill="1" applyBorder="1" applyAlignment="1">
      <alignment horizontal="left" indent="2"/>
    </xf>
    <xf numFmtId="0" fontId="3" fillId="4" borderId="1" xfId="1" applyFont="1" applyFill="1" applyBorder="1" applyAlignment="1">
      <alignment horizontal="center" vertical="center"/>
    </xf>
    <xf numFmtId="0" fontId="19" fillId="4" borderId="31" xfId="52" applyFont="1" applyFill="1" applyBorder="1" applyAlignment="1">
      <alignment horizontal="left" wrapText="1" indent="2"/>
    </xf>
    <xf numFmtId="0" fontId="19" fillId="4" borderId="32" xfId="52" applyFont="1" applyFill="1" applyBorder="1" applyAlignment="1">
      <alignment horizontal="left" wrapText="1" indent="2"/>
    </xf>
    <xf numFmtId="0" fontId="2" fillId="4" borderId="18" xfId="1" applyFont="1" applyFill="1" applyBorder="1" applyAlignment="1">
      <alignment horizontal="left" indent="2"/>
    </xf>
    <xf numFmtId="0" fontId="2" fillId="4" borderId="10" xfId="1" applyFont="1" applyFill="1" applyBorder="1" applyAlignment="1">
      <alignment horizontal="left" indent="2"/>
    </xf>
    <xf numFmtId="0" fontId="3" fillId="4" borderId="7" xfId="1" applyFont="1" applyFill="1" applyBorder="1"/>
    <xf numFmtId="0" fontId="3" fillId="4" borderId="9" xfId="1" applyFont="1" applyFill="1" applyBorder="1"/>
    <xf numFmtId="0" fontId="12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</cellXfs>
  <cellStyles count="53">
    <cellStyle name="İzlenen Köprü" xfId="25" builtinId="9" hidden="1"/>
    <cellStyle name="İzlenen Köprü" xfId="9" builtinId="9" hidden="1"/>
    <cellStyle name="İzlenen Köprü" xfId="39" builtinId="9" hidden="1"/>
    <cellStyle name="İzlenen Köprü" xfId="47" builtinId="9" hidden="1"/>
    <cellStyle name="İzlenen Köprü" xfId="43" builtinId="9" hidden="1"/>
    <cellStyle name="İzlenen Köprü" xfId="45" builtinId="9" hidden="1"/>
    <cellStyle name="İzlenen Köprü" xfId="35" builtinId="9" hidden="1"/>
    <cellStyle name="İzlenen Köprü" xfId="49" builtinId="9" hidden="1"/>
    <cellStyle name="İzlenen Köprü" xfId="21" builtinId="9" hidden="1"/>
    <cellStyle name="İzlenen Köprü" xfId="31" builtinId="9" hidden="1"/>
    <cellStyle name="İzlenen Köprü" xfId="51" builtinId="9" hidden="1"/>
    <cellStyle name="İzlenen Köprü" xfId="3" builtinId="9" hidden="1"/>
    <cellStyle name="İzlenen Köprü" xfId="5" builtinId="9" hidden="1"/>
    <cellStyle name="İzlenen Köprü" xfId="33" builtinId="9" hidden="1"/>
    <cellStyle name="İzlenen Köprü" xfId="15" builtinId="9" hidden="1"/>
    <cellStyle name="İzlenen Köprü" xfId="7" builtinId="9" hidden="1"/>
    <cellStyle name="İzlenen Köprü" xfId="29" builtinId="9" hidden="1"/>
    <cellStyle name="İzlenen Köprü" xfId="11" builtinId="9" hidden="1"/>
    <cellStyle name="İzlenen Köprü" xfId="17" builtinId="9" hidden="1"/>
    <cellStyle name="İzlenen Köprü" xfId="41" builtinId="9" hidden="1"/>
    <cellStyle name="İzlenen Köprü" xfId="19" builtinId="9" hidden="1"/>
    <cellStyle name="İzlenen Köprü" xfId="37" builtinId="9" hidden="1"/>
    <cellStyle name="İzlenen Köprü" xfId="13" builtinId="9" hidden="1"/>
    <cellStyle name="İzlenen Köprü" xfId="27" builtinId="9" hidden="1"/>
    <cellStyle name="İzlenen Köprü" xfId="23" builtinId="9" hidden="1"/>
    <cellStyle name="Köprü" xfId="40" builtinId="8" hidden="1"/>
    <cellStyle name="Köprü" xfId="32" builtinId="8" hidden="1"/>
    <cellStyle name="Köprü" xfId="42" builtinId="8" hidden="1"/>
    <cellStyle name="Köprü" xfId="24" builtinId="8" hidden="1"/>
    <cellStyle name="Köprü" xfId="20" builtinId="8" hidden="1"/>
    <cellStyle name="Köprü" xfId="28" builtinId="8" hidden="1"/>
    <cellStyle name="Köprü" xfId="18" builtinId="8" hidden="1"/>
    <cellStyle name="Köprü" xfId="8" builtinId="8" hidden="1"/>
    <cellStyle name="Köprü" xfId="36" builtinId="8" hidden="1"/>
    <cellStyle name="Köprü" xfId="6" builtinId="8" hidden="1"/>
    <cellStyle name="Köprü" xfId="48" builtinId="8" hidden="1"/>
    <cellStyle name="Köprü" xfId="46" builtinId="8" hidden="1"/>
    <cellStyle name="Köprü" xfId="34" builtinId="8" hidden="1"/>
    <cellStyle name="Köprü" xfId="14" builtinId="8" hidden="1"/>
    <cellStyle name="Köprü" xfId="50" builtinId="8" hidden="1"/>
    <cellStyle name="Köprü" xfId="44" builtinId="8" hidden="1"/>
    <cellStyle name="Köprü" xfId="10" builtinId="8" hidden="1"/>
    <cellStyle name="Köprü" xfId="2" builtinId="8" hidden="1"/>
    <cellStyle name="Köprü" xfId="12" builtinId="8" hidden="1"/>
    <cellStyle name="Köprü" xfId="30" builtinId="8" hidden="1"/>
    <cellStyle name="Köprü" xfId="26" builtinId="8" hidden="1"/>
    <cellStyle name="Köprü" xfId="38" builtinId="8" hidden="1"/>
    <cellStyle name="Köprü" xfId="4" builtinId="8" hidden="1"/>
    <cellStyle name="Köprü" xfId="22" builtinId="8" hidden="1"/>
    <cellStyle name="Köprü" xfId="16" builtinId="8" hidden="1"/>
    <cellStyle name="Normal" xfId="0" builtinId="0"/>
    <cellStyle name="Normal 13" xfId="52" xr:uid="{63306C60-FCDC-4443-AEC4-F2827501DF3F}"/>
    <cellStyle name="Normal 2" xfId="1" xr:uid="{00000000-0005-0000-0000-000033000000}"/>
  </cellStyles>
  <dxfs count="0"/>
  <tableStyles count="0" defaultTableStyle="TableStyleMedium9" defaultPivotStyle="PivotStyleLight16"/>
  <colors>
    <mruColors>
      <color rgb="FFF09126"/>
      <color rgb="FFC0C0C0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51</xdr:row>
      <xdr:rowOff>9525</xdr:rowOff>
    </xdr:from>
    <xdr:to>
      <xdr:col>9</xdr:col>
      <xdr:colOff>79375</xdr:colOff>
      <xdr:row>55</xdr:row>
      <xdr:rowOff>144993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91CE91C1-0F17-144D-BA42-BDAC2E07B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883775"/>
          <a:ext cx="10156825" cy="79586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</xdr:row>
      <xdr:rowOff>142875</xdr:rowOff>
    </xdr:from>
    <xdr:to>
      <xdr:col>3</xdr:col>
      <xdr:colOff>715327</xdr:colOff>
      <xdr:row>5</xdr:row>
      <xdr:rowOff>323850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732D462-8CE7-AF4E-BF0B-1F73666CE914}"/>
            </a:ext>
            <a:ext uri="{147F2762-F138-4A5C-976F-8EAC2B608ADB}">
              <a16:predDERef xmlns:a16="http://schemas.microsoft.com/office/drawing/2014/main" pred="{91CE91C1-0F17-144D-BA42-BDAC2E07B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555625"/>
          <a:ext cx="2442527" cy="91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4194-0FF1-7842-BDC7-027ABA51F6FB}">
  <sheetPr>
    <tabColor rgb="FFFFC000"/>
  </sheetPr>
  <dimension ref="A1:I67"/>
  <sheetViews>
    <sheetView tabSelected="1" zoomScaleNormal="100" workbookViewId="0">
      <selection activeCell="E41" sqref="E41"/>
    </sheetView>
  </sheetViews>
  <sheetFormatPr baseColWidth="10" defaultColWidth="8.83203125" defaultRowHeight="14"/>
  <cols>
    <col min="1" max="1" width="1" style="17" customWidth="1"/>
    <col min="2" max="2" width="10" style="17" customWidth="1"/>
    <col min="3" max="3" width="15.5" style="17" customWidth="1"/>
    <col min="4" max="4" width="33.83203125" style="17" customWidth="1"/>
    <col min="5" max="6" width="15.83203125" style="17" customWidth="1"/>
    <col min="7" max="7" width="19.33203125" style="29" bestFit="1" customWidth="1"/>
    <col min="8" max="8" width="23.33203125" style="27" customWidth="1"/>
    <col min="9" max="16384" width="8.83203125" style="17"/>
  </cols>
  <sheetData>
    <row r="1" spans="2:9" ht="5.25" customHeight="1">
      <c r="B1" s="13"/>
      <c r="C1" s="13"/>
      <c r="D1" s="13"/>
      <c r="E1" s="13"/>
      <c r="F1" s="13"/>
      <c r="G1" s="16"/>
      <c r="H1" s="16"/>
      <c r="I1" s="13"/>
    </row>
    <row r="2" spans="2:9" s="9" customFormat="1" ht="22.5" customHeight="1">
      <c r="B2" s="59" t="s">
        <v>14</v>
      </c>
      <c r="C2" s="60"/>
      <c r="D2" s="60"/>
      <c r="E2" s="60"/>
      <c r="F2" s="61"/>
      <c r="G2" s="62" t="s">
        <v>42</v>
      </c>
      <c r="H2" s="63"/>
      <c r="I2" s="13"/>
    </row>
    <row r="3" spans="2:9" ht="4.5" customHeight="1">
      <c r="B3" s="13"/>
      <c r="C3" s="13"/>
      <c r="D3" s="13"/>
      <c r="E3" s="13"/>
      <c r="F3" s="13"/>
      <c r="G3" s="16"/>
      <c r="H3" s="16"/>
      <c r="I3" s="13"/>
    </row>
    <row r="4" spans="2:9" ht="29.25" customHeight="1">
      <c r="B4" s="1"/>
      <c r="C4" s="2"/>
      <c r="D4" s="64" t="s">
        <v>41</v>
      </c>
      <c r="E4" s="64"/>
      <c r="F4" s="65"/>
      <c r="G4" s="33" t="s">
        <v>0</v>
      </c>
      <c r="H4" s="35">
        <f>H37+H42</f>
        <v>0</v>
      </c>
      <c r="I4" s="18"/>
    </row>
    <row r="5" spans="2:9" ht="27.75" customHeight="1">
      <c r="B5" s="3"/>
      <c r="C5" s="4"/>
      <c r="D5" s="66" t="s">
        <v>50</v>
      </c>
      <c r="E5" s="66"/>
      <c r="F5" s="67"/>
      <c r="G5" s="34" t="s">
        <v>32</v>
      </c>
      <c r="H5" s="36">
        <f>H4*20/100</f>
        <v>0</v>
      </c>
      <c r="I5" s="13"/>
    </row>
    <row r="6" spans="2:9" ht="37.5" customHeight="1">
      <c r="B6" s="5"/>
      <c r="C6" s="6"/>
      <c r="D6" s="68" t="s">
        <v>43</v>
      </c>
      <c r="E6" s="68"/>
      <c r="F6" s="69"/>
      <c r="G6" s="34" t="s">
        <v>33</v>
      </c>
      <c r="H6" s="37">
        <f>H4+H5</f>
        <v>0</v>
      </c>
      <c r="I6" s="13"/>
    </row>
    <row r="7" spans="2:9" ht="9" customHeight="1">
      <c r="B7" s="20"/>
      <c r="C7" s="20"/>
      <c r="D7" s="21"/>
      <c r="E7" s="21"/>
      <c r="F7" s="21"/>
      <c r="G7" s="30"/>
      <c r="H7" s="31"/>
      <c r="I7" s="13"/>
    </row>
    <row r="8" spans="2:9" s="9" customFormat="1" ht="18" customHeight="1">
      <c r="B8" s="56"/>
      <c r="C8" s="57"/>
      <c r="D8" s="57"/>
      <c r="E8" s="57"/>
      <c r="F8" s="57"/>
      <c r="G8" s="57"/>
      <c r="H8" s="58"/>
      <c r="I8" s="19"/>
    </row>
    <row r="9" spans="2:9" s="9" customFormat="1" ht="15.75" customHeight="1">
      <c r="B9" s="7" t="s">
        <v>1</v>
      </c>
      <c r="C9" s="56" t="s">
        <v>2</v>
      </c>
      <c r="D9" s="58"/>
      <c r="E9" s="47" t="s">
        <v>17</v>
      </c>
      <c r="F9" s="45" t="s">
        <v>16</v>
      </c>
      <c r="G9" s="8" t="s">
        <v>15</v>
      </c>
      <c r="H9" s="14" t="s">
        <v>12</v>
      </c>
      <c r="I9" s="22"/>
    </row>
    <row r="10" spans="2:9" s="9" customFormat="1" ht="15.75" customHeight="1">
      <c r="B10" s="70">
        <v>1</v>
      </c>
      <c r="C10" s="72" t="s">
        <v>19</v>
      </c>
      <c r="D10" s="73"/>
      <c r="E10" s="46"/>
      <c r="F10" s="10"/>
      <c r="G10" s="10"/>
      <c r="H10" s="40"/>
    </row>
    <row r="11" spans="2:9" s="9" customFormat="1" ht="15.75" customHeight="1">
      <c r="B11" s="71"/>
      <c r="C11" s="74" t="s">
        <v>20</v>
      </c>
      <c r="D11" s="75"/>
      <c r="E11" s="42"/>
      <c r="F11" s="11">
        <v>4</v>
      </c>
      <c r="G11" s="41">
        <v>1</v>
      </c>
      <c r="H11" s="42">
        <f t="shared" ref="H11:H16" si="0">E11*F11*G11</f>
        <v>0</v>
      </c>
    </row>
    <row r="12" spans="2:9" s="9" customFormat="1" ht="15.75" customHeight="1">
      <c r="B12" s="71"/>
      <c r="C12" s="74" t="s">
        <v>18</v>
      </c>
      <c r="D12" s="75"/>
      <c r="E12" s="48"/>
      <c r="F12" s="11">
        <v>4</v>
      </c>
      <c r="G12" s="11">
        <v>2</v>
      </c>
      <c r="H12" s="42">
        <f t="shared" si="0"/>
        <v>0</v>
      </c>
    </row>
    <row r="13" spans="2:9" s="9" customFormat="1" ht="15.75" customHeight="1">
      <c r="B13" s="71"/>
      <c r="C13" s="74" t="s">
        <v>48</v>
      </c>
      <c r="D13" s="75"/>
      <c r="E13" s="48"/>
      <c r="F13" s="11">
        <v>4</v>
      </c>
      <c r="G13" s="11">
        <v>6</v>
      </c>
      <c r="H13" s="42">
        <f t="shared" si="0"/>
        <v>0</v>
      </c>
    </row>
    <row r="14" spans="2:9" s="9" customFormat="1" ht="15.75" customHeight="1">
      <c r="B14" s="71"/>
      <c r="C14" s="74" t="s">
        <v>49</v>
      </c>
      <c r="D14" s="75"/>
      <c r="E14" s="48"/>
      <c r="F14" s="11">
        <v>4</v>
      </c>
      <c r="G14" s="11">
        <v>1</v>
      </c>
      <c r="H14" s="42">
        <f t="shared" si="0"/>
        <v>0</v>
      </c>
    </row>
    <row r="15" spans="2:9" s="9" customFormat="1" ht="15.75" customHeight="1">
      <c r="B15" s="71"/>
      <c r="C15" s="74" t="s">
        <v>44</v>
      </c>
      <c r="D15" s="75"/>
      <c r="E15" s="48"/>
      <c r="F15" s="11">
        <v>4</v>
      </c>
      <c r="G15" s="11">
        <v>6</v>
      </c>
      <c r="H15" s="42">
        <f t="shared" si="0"/>
        <v>0</v>
      </c>
    </row>
    <row r="16" spans="2:9" s="9" customFormat="1" ht="15.75" customHeight="1">
      <c r="B16" s="71"/>
      <c r="C16" s="74" t="s">
        <v>45</v>
      </c>
      <c r="D16" s="75"/>
      <c r="E16" s="48"/>
      <c r="F16" s="11">
        <v>4</v>
      </c>
      <c r="G16" s="11">
        <v>1</v>
      </c>
      <c r="H16" s="42">
        <f t="shared" si="0"/>
        <v>0</v>
      </c>
    </row>
    <row r="17" spans="2:8" s="9" customFormat="1" ht="15.75" customHeight="1">
      <c r="B17" s="76">
        <v>2</v>
      </c>
      <c r="C17" s="72" t="s">
        <v>25</v>
      </c>
      <c r="D17" s="73"/>
      <c r="E17" s="51"/>
      <c r="F17" s="50"/>
      <c r="G17" s="10"/>
      <c r="H17" s="44"/>
    </row>
    <row r="18" spans="2:8" s="9" customFormat="1" ht="15.75" customHeight="1">
      <c r="B18" s="76"/>
      <c r="C18" s="77" t="s">
        <v>38</v>
      </c>
      <c r="D18" s="78"/>
      <c r="E18" s="42"/>
      <c r="F18" s="52">
        <v>4</v>
      </c>
      <c r="G18" s="53">
        <v>17.5</v>
      </c>
      <c r="H18" s="42">
        <f t="shared" ref="H18:H24" si="1">E18*F18*G18</f>
        <v>0</v>
      </c>
    </row>
    <row r="19" spans="2:8" s="9" customFormat="1" ht="15.75" customHeight="1">
      <c r="B19" s="76"/>
      <c r="C19" s="77" t="s">
        <v>34</v>
      </c>
      <c r="D19" s="78"/>
      <c r="E19" s="42"/>
      <c r="F19" s="52">
        <v>4</v>
      </c>
      <c r="G19" s="53">
        <v>1</v>
      </c>
      <c r="H19" s="42">
        <f t="shared" si="1"/>
        <v>0</v>
      </c>
    </row>
    <row r="20" spans="2:8" s="9" customFormat="1" ht="15.75" customHeight="1">
      <c r="B20" s="76"/>
      <c r="C20" s="77" t="s">
        <v>29</v>
      </c>
      <c r="D20" s="78"/>
      <c r="E20" s="42"/>
      <c r="F20" s="52">
        <v>4</v>
      </c>
      <c r="G20" s="53">
        <v>2</v>
      </c>
      <c r="H20" s="42">
        <f t="shared" si="1"/>
        <v>0</v>
      </c>
    </row>
    <row r="21" spans="2:8" s="9" customFormat="1" ht="15.75" customHeight="1">
      <c r="B21" s="76"/>
      <c r="C21" s="77" t="s">
        <v>28</v>
      </c>
      <c r="D21" s="78"/>
      <c r="E21" s="42"/>
      <c r="F21" s="52">
        <v>4</v>
      </c>
      <c r="G21" s="53">
        <v>3</v>
      </c>
      <c r="H21" s="42">
        <f t="shared" si="1"/>
        <v>0</v>
      </c>
    </row>
    <row r="22" spans="2:8" s="9" customFormat="1" ht="15.75" customHeight="1">
      <c r="B22" s="76"/>
      <c r="C22" s="79" t="s">
        <v>21</v>
      </c>
      <c r="D22" s="80"/>
      <c r="E22" s="42"/>
      <c r="F22" s="52">
        <v>4</v>
      </c>
      <c r="G22" s="11">
        <v>2</v>
      </c>
      <c r="H22" s="42">
        <f t="shared" si="1"/>
        <v>0</v>
      </c>
    </row>
    <row r="23" spans="2:8" s="9" customFormat="1" ht="15.75" customHeight="1">
      <c r="B23" s="76"/>
      <c r="C23" s="79" t="s">
        <v>46</v>
      </c>
      <c r="D23" s="80"/>
      <c r="E23" s="42"/>
      <c r="F23" s="52">
        <v>4</v>
      </c>
      <c r="G23" s="11">
        <v>1</v>
      </c>
      <c r="H23" s="42">
        <f t="shared" si="1"/>
        <v>0</v>
      </c>
    </row>
    <row r="24" spans="2:8" s="9" customFormat="1" ht="15.75" customHeight="1">
      <c r="B24" s="76"/>
      <c r="C24" s="79" t="s">
        <v>35</v>
      </c>
      <c r="D24" s="80"/>
      <c r="E24" s="43"/>
      <c r="F24" s="52">
        <v>4</v>
      </c>
      <c r="G24" s="11">
        <v>1</v>
      </c>
      <c r="H24" s="42">
        <f t="shared" si="1"/>
        <v>0</v>
      </c>
    </row>
    <row r="25" spans="2:8" s="9" customFormat="1" ht="15.75" customHeight="1">
      <c r="B25" s="76">
        <v>3</v>
      </c>
      <c r="C25" s="72" t="s">
        <v>24</v>
      </c>
      <c r="D25" s="73"/>
      <c r="E25" s="51"/>
      <c r="F25" s="50"/>
      <c r="G25" s="10"/>
      <c r="H25" s="44"/>
    </row>
    <row r="26" spans="2:8" s="9" customFormat="1" ht="15.75" customHeight="1">
      <c r="B26" s="76"/>
      <c r="C26" s="79" t="s">
        <v>47</v>
      </c>
      <c r="D26" s="80"/>
      <c r="E26" s="42"/>
      <c r="F26" s="54">
        <v>4</v>
      </c>
      <c r="G26" s="11">
        <v>4</v>
      </c>
      <c r="H26" s="42">
        <f t="shared" ref="H26:H31" si="2">E26*F26*G26</f>
        <v>0</v>
      </c>
    </row>
    <row r="27" spans="2:8" s="9" customFormat="1" ht="15.75" customHeight="1">
      <c r="B27" s="76"/>
      <c r="C27" s="77" t="s">
        <v>26</v>
      </c>
      <c r="D27" s="78"/>
      <c r="E27" s="42"/>
      <c r="F27" s="52">
        <v>4</v>
      </c>
      <c r="G27" s="53">
        <v>4</v>
      </c>
      <c r="H27" s="42">
        <f t="shared" si="2"/>
        <v>0</v>
      </c>
    </row>
    <row r="28" spans="2:8" s="9" customFormat="1" ht="15.75" customHeight="1">
      <c r="B28" s="76"/>
      <c r="C28" s="79" t="s">
        <v>27</v>
      </c>
      <c r="D28" s="80"/>
      <c r="E28" s="42"/>
      <c r="F28" s="54">
        <v>4</v>
      </c>
      <c r="G28" s="11">
        <v>6</v>
      </c>
      <c r="H28" s="42">
        <f t="shared" si="2"/>
        <v>0</v>
      </c>
    </row>
    <row r="29" spans="2:8" s="9" customFormat="1" ht="15.75" customHeight="1">
      <c r="B29" s="76"/>
      <c r="C29" s="79" t="s">
        <v>39</v>
      </c>
      <c r="D29" s="80"/>
      <c r="E29" s="42"/>
      <c r="F29" s="54">
        <v>4</v>
      </c>
      <c r="G29" s="11">
        <v>4</v>
      </c>
      <c r="H29" s="42">
        <f t="shared" si="2"/>
        <v>0</v>
      </c>
    </row>
    <row r="30" spans="2:8" s="9" customFormat="1" ht="15.75" customHeight="1">
      <c r="B30" s="76"/>
      <c r="C30" s="79" t="s">
        <v>30</v>
      </c>
      <c r="D30" s="80"/>
      <c r="E30" s="48"/>
      <c r="F30" s="54">
        <v>4</v>
      </c>
      <c r="G30" s="11">
        <v>1</v>
      </c>
      <c r="H30" s="42">
        <f t="shared" si="2"/>
        <v>0</v>
      </c>
    </row>
    <row r="31" spans="2:8" s="9" customFormat="1" ht="15.75" customHeight="1">
      <c r="B31" s="76"/>
      <c r="C31" s="79" t="s">
        <v>31</v>
      </c>
      <c r="D31" s="80"/>
      <c r="E31" s="48"/>
      <c r="F31" s="54">
        <v>4</v>
      </c>
      <c r="G31" s="11">
        <v>1</v>
      </c>
      <c r="H31" s="42">
        <f t="shared" si="2"/>
        <v>0</v>
      </c>
    </row>
    <row r="32" spans="2:8" s="9" customFormat="1" ht="15.75" customHeight="1">
      <c r="B32" s="76">
        <v>4</v>
      </c>
      <c r="C32" s="72" t="s">
        <v>22</v>
      </c>
      <c r="D32" s="73"/>
      <c r="E32" s="51"/>
      <c r="F32" s="50"/>
      <c r="G32" s="10"/>
      <c r="H32" s="44"/>
    </row>
    <row r="33" spans="2:9" s="9" customFormat="1" ht="15.75" customHeight="1">
      <c r="B33" s="76"/>
      <c r="C33" s="77" t="s">
        <v>40</v>
      </c>
      <c r="D33" s="78"/>
      <c r="E33" s="42"/>
      <c r="F33" s="52">
        <v>4</v>
      </c>
      <c r="G33" s="53">
        <v>10</v>
      </c>
      <c r="H33" s="42">
        <f>E33*F33*G33</f>
        <v>0</v>
      </c>
    </row>
    <row r="34" spans="2:9" s="9" customFormat="1" ht="15.75" customHeight="1">
      <c r="B34" s="76"/>
      <c r="C34" s="79" t="s">
        <v>37</v>
      </c>
      <c r="D34" s="80"/>
      <c r="E34" s="42"/>
      <c r="F34" s="54">
        <v>4</v>
      </c>
      <c r="G34" s="11">
        <v>2</v>
      </c>
      <c r="H34" s="42">
        <f>E34*F34*G34</f>
        <v>0</v>
      </c>
    </row>
    <row r="35" spans="2:9" s="9" customFormat="1" ht="15.75" customHeight="1">
      <c r="B35" s="76"/>
      <c r="C35" s="79" t="s">
        <v>23</v>
      </c>
      <c r="D35" s="80"/>
      <c r="E35" s="48"/>
      <c r="F35" s="54">
        <v>4</v>
      </c>
      <c r="G35" s="11">
        <v>1</v>
      </c>
      <c r="H35" s="42">
        <f>E35*F35*G35</f>
        <v>0</v>
      </c>
    </row>
    <row r="36" spans="2:9" s="9" customFormat="1" ht="15.75" customHeight="1">
      <c r="B36" s="23">
        <v>5</v>
      </c>
      <c r="C36" s="81" t="s">
        <v>36</v>
      </c>
      <c r="D36" s="82"/>
      <c r="E36" s="49"/>
      <c r="F36" s="24">
        <v>4</v>
      </c>
      <c r="G36" s="24">
        <v>6</v>
      </c>
      <c r="H36" s="38">
        <f>E36*F36*G36</f>
        <v>0</v>
      </c>
    </row>
    <row r="37" spans="2:9" s="9" customFormat="1" ht="17.25" customHeight="1">
      <c r="B37" s="12"/>
      <c r="C37" s="13"/>
      <c r="D37" s="13"/>
      <c r="E37" s="13"/>
      <c r="F37" s="13"/>
      <c r="G37" s="15" t="s">
        <v>3</v>
      </c>
      <c r="H37" s="39">
        <f>SUM(H10:H36)</f>
        <v>0</v>
      </c>
    </row>
    <row r="38" spans="2:9" s="9" customFormat="1" ht="13.5" customHeight="1">
      <c r="B38" s="12"/>
      <c r="C38" s="13"/>
      <c r="D38" s="13"/>
      <c r="E38" s="13"/>
      <c r="F38" s="13"/>
      <c r="G38" s="25"/>
      <c r="H38" s="32"/>
    </row>
    <row r="39" spans="2:9" s="9" customFormat="1" ht="18" customHeight="1">
      <c r="B39" s="56" t="s">
        <v>51</v>
      </c>
      <c r="C39" s="57"/>
      <c r="D39" s="57"/>
      <c r="E39" s="57"/>
      <c r="F39" s="57"/>
      <c r="G39" s="57"/>
      <c r="H39" s="58"/>
      <c r="I39" s="19"/>
    </row>
    <row r="40" spans="2:9" s="9" customFormat="1" ht="15.75" customHeight="1">
      <c r="B40" s="7" t="s">
        <v>1</v>
      </c>
      <c r="C40" s="56" t="s">
        <v>2</v>
      </c>
      <c r="D40" s="58"/>
      <c r="E40" s="47" t="s">
        <v>17</v>
      </c>
      <c r="F40" s="45" t="s">
        <v>16</v>
      </c>
      <c r="G40" s="8" t="s">
        <v>15</v>
      </c>
      <c r="H40" s="14" t="s">
        <v>12</v>
      </c>
      <c r="I40" s="22"/>
    </row>
    <row r="41" spans="2:9" s="9" customFormat="1" ht="15.75" customHeight="1">
      <c r="B41" s="23">
        <v>1</v>
      </c>
      <c r="C41" s="81" t="s">
        <v>52</v>
      </c>
      <c r="D41" s="82"/>
      <c r="E41" s="49"/>
      <c r="F41" s="24">
        <v>1</v>
      </c>
      <c r="G41" s="24">
        <v>1</v>
      </c>
      <c r="H41" s="38">
        <f>E41*F41*G41</f>
        <v>0</v>
      </c>
    </row>
    <row r="42" spans="2:9" s="9" customFormat="1" ht="17.25" customHeight="1">
      <c r="B42" s="12"/>
      <c r="C42" s="13"/>
      <c r="D42" s="13"/>
      <c r="E42" s="13"/>
      <c r="F42" s="13"/>
      <c r="G42" s="15" t="s">
        <v>3</v>
      </c>
      <c r="H42" s="39">
        <f>SUM(H41:H41)</f>
        <v>0</v>
      </c>
    </row>
    <row r="43" spans="2:9" s="9" customFormat="1" ht="17.25" customHeight="1">
      <c r="B43" s="12"/>
      <c r="C43" s="13"/>
      <c r="D43" s="13"/>
      <c r="E43" s="13"/>
      <c r="F43" s="13"/>
      <c r="G43" s="25"/>
      <c r="H43" s="55"/>
    </row>
    <row r="44" spans="2:9" s="9" customFormat="1" ht="16" customHeight="1">
      <c r="B44" s="83" t="s">
        <v>4</v>
      </c>
      <c r="C44" s="83"/>
      <c r="D44" s="83"/>
      <c r="E44" s="83"/>
      <c r="F44" s="83"/>
      <c r="G44" s="83"/>
      <c r="H44" s="83"/>
    </row>
    <row r="45" spans="2:9" s="9" customFormat="1" ht="16" customHeight="1">
      <c r="B45" s="83" t="s">
        <v>5</v>
      </c>
      <c r="C45" s="83"/>
      <c r="D45" s="83"/>
      <c r="E45" s="83"/>
      <c r="F45" s="83"/>
      <c r="G45" s="83"/>
      <c r="H45" s="83"/>
    </row>
    <row r="46" spans="2:9" s="9" customFormat="1" ht="16" customHeight="1">
      <c r="B46" s="83" t="s">
        <v>6</v>
      </c>
      <c r="C46" s="83"/>
      <c r="D46" s="83"/>
      <c r="E46" s="83"/>
      <c r="F46" s="83"/>
      <c r="G46" s="83"/>
      <c r="H46" s="83"/>
    </row>
    <row r="47" spans="2:9" s="9" customFormat="1" ht="16" customHeight="1">
      <c r="B47" s="83" t="s">
        <v>7</v>
      </c>
      <c r="C47" s="83"/>
      <c r="D47" s="83"/>
      <c r="E47" s="83"/>
      <c r="F47" s="83"/>
      <c r="G47" s="83"/>
      <c r="H47" s="83"/>
    </row>
    <row r="48" spans="2:9" s="9" customFormat="1" ht="16" customHeight="1">
      <c r="B48" s="83" t="s">
        <v>8</v>
      </c>
      <c r="C48" s="83"/>
      <c r="D48" s="83"/>
      <c r="E48" s="83"/>
      <c r="F48" s="83"/>
      <c r="G48" s="83"/>
      <c r="H48" s="83"/>
    </row>
    <row r="49" spans="1:9" s="9" customFormat="1" ht="16" customHeight="1">
      <c r="B49" s="83" t="s">
        <v>9</v>
      </c>
      <c r="C49" s="83"/>
      <c r="D49" s="83"/>
      <c r="E49" s="83"/>
      <c r="F49" s="83"/>
      <c r="G49" s="83"/>
      <c r="H49" s="83"/>
    </row>
    <row r="50" spans="1:9" s="9" customFormat="1" ht="16" customHeight="1">
      <c r="B50" s="83" t="s">
        <v>10</v>
      </c>
      <c r="C50" s="83"/>
      <c r="D50" s="83"/>
      <c r="E50" s="83"/>
      <c r="F50" s="83"/>
      <c r="G50" s="83"/>
      <c r="H50" s="83"/>
    </row>
    <row r="51" spans="1:9" s="9" customFormat="1" ht="16" customHeight="1">
      <c r="B51" s="84" t="s">
        <v>11</v>
      </c>
      <c r="C51" s="84"/>
      <c r="D51" s="84"/>
      <c r="E51" s="84"/>
      <c r="F51" s="84"/>
      <c r="G51" s="84"/>
      <c r="H51" s="85"/>
    </row>
    <row r="52" spans="1:9" s="9" customFormat="1" ht="13">
      <c r="H52" s="27"/>
    </row>
    <row r="53" spans="1:9" s="9" customFormat="1" ht="13">
      <c r="H53" s="27"/>
    </row>
    <row r="54" spans="1:9" s="9" customFormat="1" ht="13">
      <c r="H54" s="27"/>
    </row>
    <row r="55" spans="1:9" s="9" customFormat="1" ht="13">
      <c r="H55" s="27"/>
    </row>
    <row r="56" spans="1:9" s="9" customFormat="1" ht="13">
      <c r="H56" s="27"/>
    </row>
    <row r="57" spans="1:9" s="9" customFormat="1" ht="21" customHeight="1">
      <c r="H57" s="28" t="s">
        <v>13</v>
      </c>
    </row>
    <row r="58" spans="1:9" s="27" customFormat="1">
      <c r="A58" s="17"/>
      <c r="B58" s="9"/>
      <c r="C58" s="9"/>
      <c r="D58" s="9"/>
      <c r="E58" s="9"/>
      <c r="F58" s="9"/>
      <c r="G58" s="9"/>
      <c r="I58" s="17"/>
    </row>
    <row r="59" spans="1:9" s="27" customFormat="1">
      <c r="A59" s="17"/>
      <c r="B59" s="12"/>
      <c r="C59" s="13"/>
      <c r="D59" s="13"/>
      <c r="E59" s="13"/>
      <c r="F59" s="13"/>
      <c r="G59" s="26"/>
      <c r="I59" s="17"/>
    </row>
    <row r="60" spans="1:9" s="27" customFormat="1">
      <c r="A60" s="17"/>
      <c r="B60" s="12"/>
      <c r="C60" s="13"/>
      <c r="D60" s="13"/>
      <c r="E60" s="13"/>
      <c r="F60" s="13"/>
      <c r="G60" s="26"/>
      <c r="I60" s="17"/>
    </row>
    <row r="61" spans="1:9" s="27" customFormat="1">
      <c r="A61" s="17"/>
      <c r="B61" s="12"/>
      <c r="C61" s="13"/>
      <c r="D61" s="13"/>
      <c r="E61" s="13"/>
      <c r="F61" s="13"/>
      <c r="G61" s="26"/>
      <c r="I61" s="17"/>
    </row>
    <row r="62" spans="1:9" s="27" customFormat="1">
      <c r="A62" s="17"/>
      <c r="B62" s="12"/>
      <c r="C62" s="13"/>
      <c r="D62" s="13"/>
      <c r="E62" s="13"/>
      <c r="F62" s="13"/>
      <c r="G62" s="26"/>
      <c r="I62" s="17"/>
    </row>
    <row r="63" spans="1:9" s="27" customFormat="1">
      <c r="A63" s="17"/>
      <c r="B63" s="12"/>
      <c r="C63" s="13"/>
      <c r="D63" s="13"/>
      <c r="E63" s="13"/>
      <c r="F63" s="13"/>
      <c r="G63" s="26"/>
      <c r="I63" s="17"/>
    </row>
    <row r="64" spans="1:9" s="27" customFormat="1">
      <c r="A64" s="17"/>
      <c r="B64" s="12"/>
      <c r="C64" s="13"/>
      <c r="D64" s="13"/>
      <c r="E64" s="13"/>
      <c r="F64" s="13"/>
      <c r="G64" s="26"/>
      <c r="I64" s="17"/>
    </row>
    <row r="65" spans="1:9" s="27" customFormat="1">
      <c r="A65" s="17"/>
      <c r="B65" s="12"/>
      <c r="C65" s="13"/>
      <c r="D65" s="13"/>
      <c r="E65" s="13"/>
      <c r="F65" s="13"/>
      <c r="G65" s="26"/>
      <c r="I65" s="17"/>
    </row>
    <row r="66" spans="1:9" s="27" customFormat="1">
      <c r="A66" s="17"/>
      <c r="B66" s="12"/>
      <c r="C66" s="13"/>
      <c r="D66" s="13"/>
      <c r="E66" s="13"/>
      <c r="F66" s="13"/>
      <c r="G66" s="26"/>
      <c r="I66" s="17"/>
    </row>
    <row r="67" spans="1:9" s="27" customFormat="1">
      <c r="A67" s="17"/>
      <c r="B67" s="12"/>
      <c r="C67" s="13"/>
      <c r="D67" s="13"/>
      <c r="E67" s="13"/>
      <c r="F67" s="13"/>
      <c r="G67" s="26"/>
      <c r="I67" s="17"/>
    </row>
  </sheetData>
  <mergeCells count="49">
    <mergeCell ref="B50:H50"/>
    <mergeCell ref="B51:H51"/>
    <mergeCell ref="B39:H39"/>
    <mergeCell ref="C40:D40"/>
    <mergeCell ref="C41:D41"/>
    <mergeCell ref="B44:H44"/>
    <mergeCell ref="B45:H45"/>
    <mergeCell ref="B46:H46"/>
    <mergeCell ref="B47:H47"/>
    <mergeCell ref="B48:H48"/>
    <mergeCell ref="B49:H49"/>
    <mergeCell ref="C36:D36"/>
    <mergeCell ref="B25:B31"/>
    <mergeCell ref="C25:D25"/>
    <mergeCell ref="C26:D26"/>
    <mergeCell ref="C27:D27"/>
    <mergeCell ref="C28:D28"/>
    <mergeCell ref="C29:D29"/>
    <mergeCell ref="C30:D30"/>
    <mergeCell ref="C31:D31"/>
    <mergeCell ref="B32:B35"/>
    <mergeCell ref="C32:D32"/>
    <mergeCell ref="C33:D33"/>
    <mergeCell ref="C34:D34"/>
    <mergeCell ref="C35:D35"/>
    <mergeCell ref="B17:B24"/>
    <mergeCell ref="C17:D17"/>
    <mergeCell ref="C18:D18"/>
    <mergeCell ref="C19:D19"/>
    <mergeCell ref="C20:D20"/>
    <mergeCell ref="C21:D21"/>
    <mergeCell ref="C22:D22"/>
    <mergeCell ref="C23:D23"/>
    <mergeCell ref="C24:D24"/>
    <mergeCell ref="C9:D9"/>
    <mergeCell ref="B10:B16"/>
    <mergeCell ref="C10:D10"/>
    <mergeCell ref="C11:D11"/>
    <mergeCell ref="C12:D12"/>
    <mergeCell ref="C13:D13"/>
    <mergeCell ref="C14:D14"/>
    <mergeCell ref="C15:D15"/>
    <mergeCell ref="C16:D16"/>
    <mergeCell ref="B8:H8"/>
    <mergeCell ref="B2:F2"/>
    <mergeCell ref="G2:H2"/>
    <mergeCell ref="D4:F4"/>
    <mergeCell ref="D5:F5"/>
    <mergeCell ref="D6:F6"/>
  </mergeCells>
  <pageMargins left="0.31496062992125984" right="0.31496062992125984" top="0.74803149606299213" bottom="0.74803149606299213" header="0.31496062992125984" footer="0.31496062992125984"/>
  <pageSetup paperSize="9" scale="75" orientation="portrait" r:id="rId1"/>
  <rowBreaks count="1" manualBreakCount="1">
    <brk id="37" max="6" man="1"/>
  </rowBreaks>
  <colBreaks count="1" manualBreakCount="1">
    <brk id="8" min="7" max="10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NEOTECH 3.5X5M</vt:lpstr>
      <vt:lpstr>'NEOTECH 3.5X5M'!Yazdırma_Alanı</vt:lpstr>
    </vt:vector>
  </TitlesOfParts>
  <Company>Mb Prodüksiyon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MAGICBOX Teklif Formu</dc:subject>
  <dc:creator>MAGICBOX Prodüksiyon &amp; İletişim</dc:creator>
  <cp:lastModifiedBy>Magicbox Prodüksiyon</cp:lastModifiedBy>
  <cp:lastPrinted>2019-09-10T11:43:06Z</cp:lastPrinted>
  <dcterms:created xsi:type="dcterms:W3CDTF">2010-09-21T11:32:00Z</dcterms:created>
  <dcterms:modified xsi:type="dcterms:W3CDTF">2024-03-25T12:24:12Z</dcterms:modified>
</cp:coreProperties>
</file>